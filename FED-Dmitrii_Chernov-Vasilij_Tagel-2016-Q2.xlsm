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ey_Obrezkin\Downloads\"/>
    </mc:Choice>
  </mc:AlternateContent>
  <bookViews>
    <workbookView xWindow="0" yWindow="0" windowWidth="20400" windowHeight="7620"/>
  </bookViews>
  <sheets>
    <sheet name="Программа" sheetId="1" r:id="rId1"/>
    <sheet name="Инструкции" sheetId="3" r:id="rId2"/>
    <sheet name="Параметры" sheetId="2" state="veryHidden" r:id="rId3"/>
  </sheets>
  <functionGroups builtInGroupCount="18"/>
  <definedNames>
    <definedName name="ApproveButton">"Button 3"</definedName>
  </definedNames>
  <calcPr calcId="162913"/>
</workbook>
</file>

<file path=xl/calcChain.xml><?xml version="1.0" encoding="utf-8"?>
<calcChain xmlns="http://schemas.openxmlformats.org/spreadsheetml/2006/main">
  <c r="A13" i="1" l="1"/>
  <c r="A14" i="1" s="1"/>
  <c r="A15" i="1" s="1"/>
  <c r="A16" i="1" s="1"/>
  <c r="A17" i="1" s="1"/>
  <c r="A18" i="1" s="1"/>
  <c r="A12" i="1"/>
  <c r="E12" i="1"/>
  <c r="E11" i="1" l="1"/>
  <c r="E13" i="1"/>
  <c r="E14" i="1"/>
  <c r="E15" i="1"/>
  <c r="E16" i="1"/>
  <c r="E17" i="1"/>
  <c r="E18" i="1"/>
</calcChain>
</file>

<file path=xl/sharedStrings.xml><?xml version="1.0" encoding="utf-8"?>
<sst xmlns="http://schemas.openxmlformats.org/spreadsheetml/2006/main" count="85" uniqueCount="67">
  <si>
    <t>Mentor</t>
  </si>
  <si>
    <t>Mentee</t>
  </si>
  <si>
    <t>№</t>
  </si>
  <si>
    <t>Module Name</t>
  </si>
  <si>
    <t>Duration (weeks)</t>
  </si>
  <si>
    <t>ProjectName</t>
  </si>
  <si>
    <t>JMP-RU</t>
  </si>
  <si>
    <t>status.json</t>
  </si>
  <si>
    <t>{
 "city":    "City Name",
 "curator": { 
  "name": "Curator Name" 
 },
 "mentee":  { 
  "name": "Mentee Name", 
  "rm": "RM Name" 
 },
 "planned": { "start": "", "end": "" },
 "actual": { "start": "", "end": "" },
 "status": "NotStarted", 
 "isAdded": false,
 "type": "offline",
 "duration": 1, 
 "mentor": {
  "name": "Mentor Name", 
  "rm": "Rm name",
  "mark": 0,
  "comment": "",
  "quantityMark": 0
 },
 "rm": {
  "approved": false,
  "comment": "",
  "quantityMark": 0
 }
}</t>
  </si>
  <si>
    <t>City</t>
  </si>
  <si>
    <t>RM of mentor</t>
  </si>
  <si>
    <t>RM of mentee</t>
  </si>
  <si>
    <t>Planned Start</t>
  </si>
  <si>
    <t>Planned End</t>
  </si>
  <si>
    <t>Actual Start</t>
  </si>
  <si>
    <t>Actual End</t>
  </si>
  <si>
    <t>Status</t>
  </si>
  <si>
    <t>Mark</t>
  </si>
  <si>
    <t>Comments</t>
  </si>
  <si>
    <t>Quality mark</t>
  </si>
  <si>
    <t>Approved</t>
  </si>
  <si>
    <t>RM Comments</t>
  </si>
  <si>
    <t>RM Quality mark</t>
  </si>
  <si>
    <t>Not Started</t>
  </si>
  <si>
    <t>In Progress</t>
  </si>
  <si>
    <t>Done</t>
  </si>
  <si>
    <t>Freezed</t>
  </si>
  <si>
    <t>StartDate</t>
  </si>
  <si>
    <t>EndDate</t>
  </si>
  <si>
    <r>
      <t>Оценка 5 («Excellent»)</t>
    </r>
    <r>
      <rPr>
        <sz val="11"/>
        <color rgb="FF000000"/>
        <rFont val="Calibri"/>
        <family val="2"/>
        <charset val="204"/>
      </rPr>
      <t xml:space="preserve"> - сделано заведомо лучше, чем можно ожидать от задания. Ставится в исключительных случаях, если:</t>
    </r>
  </si>
  <si>
    <r>
      <t>a.</t>
    </r>
    <r>
      <rPr>
        <sz val="7"/>
        <color rgb="FF000000"/>
        <rFont val="Times New Roman"/>
        <family val="1"/>
        <charset val="204"/>
      </rPr>
      <t xml:space="preserve">       </t>
    </r>
    <r>
      <rPr>
        <sz val="11"/>
        <color rgb="FF000000"/>
        <rFont val="Calibri"/>
        <family val="2"/>
        <charset val="204"/>
        <scheme val="minor"/>
      </rPr>
      <t>Само задание выполнено без очевидных и легко проверяемых самим менти ошибок (скрытые ошибки или мелкие глупости допустимы, если они делаются в первый раз и не ведут к критичным последствиям для работы приложения).</t>
    </r>
  </si>
  <si>
    <r>
      <t>b.</t>
    </r>
    <r>
      <rPr>
        <sz val="7"/>
        <color rgb="FF000000"/>
        <rFont val="Times New Roman"/>
        <family val="1"/>
        <charset val="204"/>
      </rPr>
      <t xml:space="preserve">      </t>
    </r>
    <r>
      <rPr>
        <sz val="11"/>
        <color rgb="FF000000"/>
        <rFont val="Calibri"/>
        <family val="2"/>
        <charset val="204"/>
        <scheme val="minor"/>
      </rPr>
      <t>При выполнении задания менти дополнительно с чем-либо разобрался и применил эти знания на практике не ставя под угрозу выполнение основного задания (не полез в последний момент применять новую библиотеку, не применил библиотеку там, где надо было сделать руками и т.д.). Иными словами, менти явно идет впереди.</t>
    </r>
  </si>
  <si>
    <r>
      <t>c.</t>
    </r>
    <r>
      <rPr>
        <sz val="7"/>
        <color rgb="FF000000"/>
        <rFont val="Times New Roman"/>
        <family val="1"/>
        <charset val="204"/>
      </rPr>
      <t xml:space="preserve">       </t>
    </r>
    <r>
      <rPr>
        <sz val="11"/>
        <color rgb="FF000000"/>
        <rFont val="Calibri"/>
        <family val="2"/>
        <charset val="204"/>
        <scheme val="minor"/>
      </rPr>
      <t>При выполнении задания своевременно задавались необходимые уточняющие вопросы.</t>
    </r>
  </si>
  <si>
    <r>
      <t>d.</t>
    </r>
    <r>
      <rPr>
        <sz val="7"/>
        <color rgb="FF000000"/>
        <rFont val="Times New Roman"/>
        <family val="1"/>
        <charset val="204"/>
      </rPr>
      <t xml:space="preserve">      </t>
    </r>
    <r>
      <rPr>
        <sz val="11"/>
        <color rgb="FF000000"/>
        <rFont val="Calibri"/>
        <family val="2"/>
        <charset val="204"/>
        <scheme val="minor"/>
      </rPr>
      <t>Задание сдано в срок.</t>
    </r>
  </si>
  <si>
    <r>
      <t>Оценка 4 («Good»)</t>
    </r>
    <r>
      <rPr>
        <sz val="11"/>
        <color rgb="FF000000"/>
        <rFont val="Calibri"/>
        <family val="2"/>
        <charset val="204"/>
      </rPr>
      <t xml:space="preserve"> - типичная оценка для добротного, в срок* выполненного задания без существенных ошибок.</t>
    </r>
  </si>
  <si>
    <r>
      <t>Оценка 3 («Satisfactorly»)</t>
    </r>
    <r>
      <rPr>
        <sz val="11"/>
        <color rgb="FF000000"/>
        <rFont val="Calibri"/>
        <family val="2"/>
        <charset val="204"/>
      </rPr>
      <t xml:space="preserve"> - приложение не доделано в срок*, и/или содержит достаточно серьезные ошибки, которые нет смысла переделывать, и/или есть претензии к качеству кода и т.д. Вполне типичная оценка очень для многих заданий.</t>
    </r>
  </si>
  <si>
    <r>
      <t>Оценка 2 («Poorly»)</t>
    </r>
    <r>
      <rPr>
        <sz val="11"/>
        <color rgb="FF000000"/>
        <rFont val="Calibri"/>
        <family val="2"/>
        <charset val="204"/>
      </rPr>
      <t xml:space="preserve"> - приложение сделано со значительным пропуском сроков*, содержит критичные ошибки, значительные претензии к качеству кода и т.д., но формально работает. Несколько оценок данного уровня – вполне законное основание для отчисления.</t>
    </r>
  </si>
  <si>
    <r>
      <t>Оценка 1 («Not acceptable»)</t>
    </r>
    <r>
      <rPr>
        <sz val="11"/>
        <color rgb="FF000000"/>
        <rFont val="Calibri"/>
        <family val="2"/>
        <charset val="204"/>
      </rPr>
      <t xml:space="preserve"> - приложение не работает в принципе, либо не сдано до крайнего срока. Вменяемых оправданий нет.</t>
    </r>
  </si>
  <si>
    <t>* сроком выполнения задания считается неделя с момента его выдачи. За каждый день просрочки после данной даты рекомендуется снижать итоговую оценку на 0.1 балла. Само снижение - на усмотрение ментора, например, при отпуске, или болезни менти можно допустить просрочку без снижения оценки.</t>
  </si>
  <si>
    <t>Правила выставления оценки за модули</t>
  </si>
  <si>
    <t>Yes</t>
  </si>
  <si>
    <t>No</t>
  </si>
  <si>
    <t>Program</t>
  </si>
  <si>
    <t>Coordinator</t>
  </si>
  <si>
    <t>Local Curator</t>
  </si>
  <si>
    <t>Actions</t>
  </si>
  <si>
    <t>CDM</t>
  </si>
  <si>
    <t>Куратор</t>
  </si>
  <si>
    <t>Tamara_Lapezova</t>
  </si>
  <si>
    <t>isApproved</t>
  </si>
  <si>
    <t>git_url</t>
  </si>
  <si>
    <t>UXDev</t>
  </si>
  <si>
    <t>Izhevsk</t>
  </si>
  <si>
    <t>Basic.Introduction to CSS</t>
  </si>
  <si>
    <t>Basic.HTML fundamentals</t>
  </si>
  <si>
    <t>Basic.JavaScript Fundamentals</t>
  </si>
  <si>
    <t>Basic.Browser tools</t>
  </si>
  <si>
    <t>Basic.jQuery Basic</t>
  </si>
  <si>
    <t>Basic.Mobile Responsive design Basic</t>
  </si>
  <si>
    <t>Basic.AJAX + JSON</t>
  </si>
  <si>
    <t>Basic.HTTP Protocol Theory</t>
  </si>
  <si>
    <t>Alexander_Orestov</t>
  </si>
  <si>
    <t>Alexey_Obrezkin</t>
  </si>
  <si>
    <t>Vasilij_Tagel</t>
  </si>
  <si>
    <t>Maxim_Prosalov</t>
  </si>
  <si>
    <t>Dmitrii_Chernov</t>
  </si>
  <si>
    <t>Alexandr_Usynin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</si>
</sst>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6" x14ac:knownFonts="1">
    <font>
      <sz val="11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b/>
      <sz val="8"/>
      <color theme="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7"/>
      <color rgb="FF000000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b/>
      <sz val="11"/>
      <color rgb="FF006100"/>
      <name val="Calibri"/>
      <family val="2"/>
      <charset val="204"/>
      <scheme val="minor"/>
    </font>
    <font>
      <u/>
      <sz val="11"/>
      <color indexed="12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</cellStyleXfs>
  <cellXfs count="4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 wrapText="1"/>
    </xf>
    <xf numFmtId="14" fontId="0" fillId="0" borderId="0" xfId="0" applyNumberFormat="1"/>
    <xf numFmtId="0" fontId="8" fillId="0" borderId="2" xfId="0" applyFont="1" applyBorder="1" applyAlignment="1">
      <alignment horizontal="center" vertical="center" wrapText="1"/>
    </xf>
    <xf numFmtId="49" fontId="8" fillId="2" borderId="2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5" fillId="0" borderId="0" xfId="0" applyFont="1" applyAlignment="1">
      <alignment horizontal="left" vertical="center" indent="4"/>
    </xf>
    <xf numFmtId="0" fontId="4" fillId="0" borderId="0" xfId="0" applyFont="1" applyAlignment="1">
      <alignment vertical="center"/>
    </xf>
    <xf numFmtId="0" fontId="11" fillId="0" borderId="0" xfId="0" applyFont="1"/>
    <xf numFmtId="0" fontId="13" fillId="4" borderId="0" xfId="2" applyAlignment="1">
      <alignment vertical="center"/>
    </xf>
    <xf numFmtId="0" fontId="13" fillId="4" borderId="0" xfId="2" applyAlignment="1">
      <alignment horizontal="center"/>
    </xf>
    <xf numFmtId="0" fontId="13" fillId="4" borderId="0" xfId="2"/>
    <xf numFmtId="0" fontId="13" fillId="4" borderId="0" xfId="2" applyAlignment="1">
      <alignment horizontal="left"/>
    </xf>
    <xf numFmtId="164" fontId="8" fillId="0" borderId="2" xfId="0" applyNumberFormat="1" applyFont="1" applyBorder="1" applyAlignment="1">
      <alignment horizontal="center" vertical="center" wrapText="1"/>
    </xf>
    <xf numFmtId="164" fontId="8" fillId="0" borderId="3" xfId="0" applyNumberFormat="1" applyFont="1" applyBorder="1" applyAlignment="1">
      <alignment horizontal="center" vertical="center" wrapText="1"/>
    </xf>
    <xf numFmtId="164" fontId="8" fillId="2" borderId="7" xfId="0" applyNumberFormat="1" applyFont="1" applyFill="1" applyBorder="1" applyAlignment="1">
      <alignment horizontal="center" vertical="center" wrapText="1"/>
    </xf>
    <xf numFmtId="164" fontId="8" fillId="2" borderId="2" xfId="0" applyNumberFormat="1" applyFont="1" applyFill="1" applyBorder="1" applyAlignment="1">
      <alignment horizontal="center" vertical="center" wrapText="1"/>
    </xf>
    <xf numFmtId="14" fontId="3" fillId="0" borderId="5" xfId="0" applyNumberFormat="1" applyFont="1" applyBorder="1"/>
    <xf numFmtId="14" fontId="3" fillId="0" borderId="6" xfId="0" applyNumberFormat="1" applyFont="1" applyBorder="1"/>
    <xf numFmtId="14" fontId="3" fillId="0" borderId="0" xfId="0" applyNumberFormat="1" applyFont="1" applyAlignment="1">
      <alignment vertical="center"/>
    </xf>
    <xf numFmtId="14" fontId="6" fillId="0" borderId="0" xfId="0" applyNumberFormat="1" applyFont="1" applyAlignment="1">
      <alignment vertical="center"/>
    </xf>
    <xf numFmtId="14" fontId="3" fillId="0" borderId="6" xfId="0" applyNumberFormat="1" applyFont="1" applyBorder="1" applyAlignment="1">
      <alignment vertical="center"/>
    </xf>
    <xf numFmtId="14" fontId="3" fillId="0" borderId="9" xfId="0" applyNumberFormat="1" applyFont="1" applyBorder="1" applyAlignment="1">
      <alignment vertical="center"/>
    </xf>
    <xf numFmtId="14" fontId="3" fillId="0" borderId="8" xfId="0" applyNumberFormat="1" applyFont="1" applyBorder="1" applyAlignment="1">
      <alignment vertical="center"/>
    </xf>
    <xf numFmtId="14" fontId="3" fillId="0" borderId="0" xfId="0" applyNumberFormat="1" applyFont="1" applyBorder="1" applyAlignment="1">
      <alignment vertical="center"/>
    </xf>
    <xf numFmtId="0" fontId="3" fillId="0" borderId="0" xfId="0" applyFont="1" applyBorder="1" applyAlignment="1">
      <alignment vertical="center"/>
    </xf>
    <xf numFmtId="14" fontId="3" fillId="0" borderId="5" xfId="0" applyNumberFormat="1" applyFont="1" applyBorder="1" applyAlignment="1">
      <alignment vertical="center"/>
    </xf>
    <xf numFmtId="0" fontId="2" fillId="0" borderId="9" xfId="0" applyFont="1" applyBorder="1" applyAlignment="1">
      <alignment horizontal="center" wrapText="1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horizontal="center"/>
    </xf>
    <xf numFmtId="0" fontId="15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 wrapText="1"/>
    </xf>
    <xf numFmtId="0" fontId="13" fillId="4" borderId="0" xfId="2" applyAlignment="1">
      <alignment horizontal="left" vertical="top" wrapText="1"/>
    </xf>
    <xf numFmtId="0" fontId="14" fillId="3" borderId="0" xfId="1" applyFont="1" applyAlignment="1">
      <alignment horizontal="center" vertical="center"/>
    </xf>
  </cellXfs>
  <cellStyles count="3">
    <cellStyle name="Good" xfId="1" builtinId="26"/>
    <cellStyle name="Neutral" xfId="2" builtinId="28"/>
    <cellStyle name="Normal" xfId="0" builtinId="0"/>
  </cellStyles>
  <dxfs count="19"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vertAlign val="baseline"/>
        <sz val="10"/>
        <name val="Calibri"/>
        <scheme val="minor"/>
      </font>
      <numFmt numFmtId="19" formatCode="m/d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0"/>
        <name val="Calibri"/>
        <scheme val="minor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indexed="12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name val="Calibri"/>
        <scheme val="minor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19050</xdr:rowOff>
        </xdr:from>
        <xdr:to>
          <xdr:col>5</xdr:col>
          <xdr:colOff>0</xdr:colOff>
          <xdr:row>6</xdr:row>
          <xdr:rowOff>19050</xdr:rowOff>
        </xdr:to>
        <xdr:sp macro="" textlink="">
          <xdr:nvSpPr>
            <xdr:cNvPr id="1025" name="Button 1" descr="Загрузить программу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Обновить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180975</xdr:rowOff>
        </xdr:from>
        <xdr:to>
          <xdr:col>5</xdr:col>
          <xdr:colOff>9525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репозиторий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180975</xdr:rowOff>
        </xdr:from>
        <xdr:to>
          <xdr:col>5</xdr:col>
          <xdr:colOff>0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Подтвердить программу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3" displayName="Table3" ref="A10:N36" totalsRowShown="0" headerRowDxfId="18" dataDxfId="16" headerRowBorderDxfId="17" tableBorderDxfId="15" totalsRowBorderDxfId="14">
  <autoFilter ref="A10:N36"/>
  <tableColumns count="14">
    <tableColumn id="1" name="№" dataDxfId="13"/>
    <tableColumn id="4" name="Module Name" dataDxfId="12"/>
    <tableColumn id="2" name="Duration (weeks)" dataDxfId="11"/>
    <tableColumn id="3" name="Planned Start" dataDxfId="10"/>
    <tableColumn id="5" name="Planned End" dataDxfId="9">
      <calculatedColumnFormula>DATE(YEAR(Table3[Planned Start]),MONTH(Table3[Planned Start]),DAY(Table3[Planned Start])+7*Table3[Duration (weeks)])</calculatedColumnFormula>
    </tableColumn>
    <tableColumn id="6" name="Actual Start" dataDxfId="8"/>
    <tableColumn id="7" name="Actual End" dataDxfId="7"/>
    <tableColumn id="8" name="Status" dataDxfId="6"/>
    <tableColumn id="9" name="Mark" dataDxfId="5"/>
    <tableColumn id="16" name="Approved" dataDxfId="4"/>
    <tableColumn id="10" name="Comments" dataDxfId="3"/>
    <tableColumn id="11" name="Quality mark" dataDxfId="2"/>
    <tableColumn id="17" name="RM Quality mark" dataDxfId="1"/>
    <tableColumn id="13" name="RM Comment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gram"/>
  <dimension ref="A1:N39"/>
  <sheetViews>
    <sheetView tabSelected="1" zoomScaleNormal="100" workbookViewId="0">
      <selection activeCell="B7" sqref="B7"/>
    </sheetView>
  </sheetViews>
  <sheetFormatPr defaultColWidth="9.140625" defaultRowHeight="15" x14ac:dyDescent="0.25"/>
  <cols>
    <col min="1" max="1" width="13.7109375" style="1" bestFit="1" customWidth="1"/>
    <col min="2" max="2" width="75.85546875" style="1" bestFit="1" customWidth="1"/>
    <col min="3" max="3" width="8.42578125" style="1" customWidth="1"/>
    <col min="4" max="4" width="10.140625" style="1" customWidth="1"/>
    <col min="5" max="5" width="11" style="1" bestFit="1" customWidth="1"/>
    <col min="6" max="7" width="9.85546875" style="1" bestFit="1" customWidth="1"/>
    <col min="8" max="10" width="9.140625" style="1"/>
    <col min="11" max="11" width="19.5703125" style="1" customWidth="1"/>
    <col min="12" max="13" width="9.140625" style="1"/>
    <col min="14" max="14" width="27.140625" style="1" customWidth="1"/>
    <col min="15" max="16384" width="9.140625" style="1"/>
  </cols>
  <sheetData>
    <row r="1" spans="1:14" x14ac:dyDescent="0.25">
      <c r="A1" s="1" t="s">
        <v>42</v>
      </c>
      <c r="B1" s="1" t="s">
        <v>51</v>
      </c>
      <c r="C1" s="43" t="s">
        <v>45</v>
      </c>
      <c r="D1" s="43"/>
      <c r="E1" s="43"/>
    </row>
    <row r="2" spans="1:14" x14ac:dyDescent="0.25">
      <c r="A2" s="1" t="s">
        <v>43</v>
      </c>
      <c r="B2" s="1" t="s">
        <v>61</v>
      </c>
      <c r="C2" s="19" t="s">
        <v>20</v>
      </c>
      <c r="D2" s="19"/>
      <c r="E2" s="19"/>
    </row>
    <row r="3" spans="1:14" x14ac:dyDescent="0.25">
      <c r="A3" s="1" t="s">
        <v>44</v>
      </c>
      <c r="B3" t="s">
        <v>62</v>
      </c>
      <c r="C3" s="19"/>
      <c r="D3" s="19"/>
      <c r="E3" s="19"/>
    </row>
    <row r="4" spans="1:14" x14ac:dyDescent="0.25">
      <c r="A4" s="1" t="s">
        <v>9</v>
      </c>
      <c r="B4" s="1" t="s">
        <v>52</v>
      </c>
      <c r="C4" s="19"/>
      <c r="D4" s="19"/>
      <c r="E4" s="19"/>
    </row>
    <row r="5" spans="1:14" x14ac:dyDescent="0.25">
      <c r="A5" s="2" t="s">
        <v>0</v>
      </c>
      <c r="B5" t="s">
        <v>63</v>
      </c>
      <c r="C5" s="42"/>
      <c r="D5" s="42"/>
      <c r="E5" s="42"/>
    </row>
    <row r="6" spans="1:14" x14ac:dyDescent="0.25">
      <c r="A6" s="2" t="s">
        <v>10</v>
      </c>
      <c r="B6" s="1" t="s">
        <v>64</v>
      </c>
      <c r="C6" s="20"/>
      <c r="D6" s="21"/>
      <c r="E6" s="21"/>
    </row>
    <row r="7" spans="1:14" x14ac:dyDescent="0.25">
      <c r="A7" s="2" t="s">
        <v>1</v>
      </c>
      <c r="B7" t="s">
        <v>65</v>
      </c>
      <c r="C7" s="22"/>
      <c r="D7" s="21"/>
      <c r="E7" s="21"/>
    </row>
    <row r="8" spans="1:14" x14ac:dyDescent="0.25">
      <c r="A8" s="2" t="s">
        <v>11</v>
      </c>
      <c r="B8" t="s">
        <v>66</v>
      </c>
      <c r="C8" s="20"/>
      <c r="D8" s="21"/>
      <c r="E8" s="21"/>
    </row>
    <row r="9" spans="1:14" ht="15.75" thickBot="1" x14ac:dyDescent="0.3">
      <c r="A9" s="4"/>
      <c r="B9"/>
      <c r="C9" s="3"/>
      <c r="D9"/>
      <c r="E9"/>
    </row>
    <row r="10" spans="1:14" ht="22.5" x14ac:dyDescent="0.25">
      <c r="A10" s="11" t="s">
        <v>2</v>
      </c>
      <c r="B10" s="13" t="s">
        <v>3</v>
      </c>
      <c r="C10" s="13" t="s">
        <v>4</v>
      </c>
      <c r="D10" s="23" t="s">
        <v>12</v>
      </c>
      <c r="E10" s="24" t="s">
        <v>13</v>
      </c>
      <c r="F10" s="25" t="s">
        <v>14</v>
      </c>
      <c r="G10" s="26" t="s">
        <v>15</v>
      </c>
      <c r="H10" s="14" t="s">
        <v>16</v>
      </c>
      <c r="I10" s="14" t="s">
        <v>17</v>
      </c>
      <c r="J10" s="14" t="s">
        <v>20</v>
      </c>
      <c r="K10" s="14" t="s">
        <v>18</v>
      </c>
      <c r="L10" s="14" t="s">
        <v>19</v>
      </c>
      <c r="M10" s="13" t="s">
        <v>22</v>
      </c>
      <c r="N10" s="13" t="s">
        <v>21</v>
      </c>
    </row>
    <row r="11" spans="1:14" x14ac:dyDescent="0.25">
      <c r="A11" s="5">
        <v>1</v>
      </c>
      <c r="B11" t="s">
        <v>60</v>
      </c>
      <c r="C11" s="6">
        <v>1</v>
      </c>
      <c r="D11" s="27"/>
      <c r="E11" s="28">
        <f>DATE(YEAR(Table3[Planned Start]),MONTH(Table3[Planned Start]),DAY(Table3[Planned Start])+7*Table3[Duration (weeks)])</f>
        <v>7</v>
      </c>
      <c r="F11" s="29"/>
      <c r="G11" s="30"/>
      <c r="H11" s="10" t="s">
        <v>23</v>
      </c>
      <c r="I11" s="10"/>
      <c r="J11" s="10" t="s">
        <v>41</v>
      </c>
      <c r="K11" s="9"/>
      <c r="L11" s="10"/>
      <c r="M11" s="10"/>
      <c r="N11" s="9"/>
    </row>
    <row r="12" spans="1:14" x14ac:dyDescent="0.25">
      <c r="A12" s="5">
        <f>A11+1</f>
        <v>2</v>
      </c>
      <c r="B12" t="s">
        <v>54</v>
      </c>
      <c r="C12" s="6">
        <v>1</v>
      </c>
      <c r="D12" s="27"/>
      <c r="E12" s="28">
        <f>DATE(YEAR(Table3[Planned Start]),MONTH(Table3[Planned Start]),DAY(Table3[Planned Start])+7*Table3[Duration (weeks)])</f>
        <v>7</v>
      </c>
      <c r="F12" s="29"/>
      <c r="G12" s="30"/>
      <c r="H12" s="10" t="s">
        <v>23</v>
      </c>
      <c r="I12" s="10"/>
      <c r="J12" s="10" t="s">
        <v>41</v>
      </c>
      <c r="K12" s="9"/>
      <c r="L12" s="9"/>
      <c r="M12" s="9"/>
      <c r="N12" s="9"/>
    </row>
    <row r="13" spans="1:14" x14ac:dyDescent="0.25">
      <c r="A13" s="5">
        <f>A12+1</f>
        <v>3</v>
      </c>
      <c r="B13" t="s">
        <v>53</v>
      </c>
      <c r="C13" s="6">
        <v>1</v>
      </c>
      <c r="D13" s="27"/>
      <c r="E13" s="28">
        <f>DATE(YEAR(Table3[Planned Start]),MONTH(Table3[Planned Start]),DAY(Table3[Planned Start])+7*Table3[Duration (weeks)])</f>
        <v>7</v>
      </c>
      <c r="F13" s="29"/>
      <c r="G13" s="30"/>
      <c r="H13" s="10" t="s">
        <v>23</v>
      </c>
      <c r="I13" s="10"/>
      <c r="J13" s="10" t="s">
        <v>41</v>
      </c>
      <c r="K13" s="10"/>
      <c r="L13" s="10"/>
      <c r="M13" s="10"/>
      <c r="N13" s="10"/>
    </row>
    <row r="14" spans="1:14" x14ac:dyDescent="0.25">
      <c r="A14" s="5">
        <f t="shared" ref="A14:A18" si="0">A13+1</f>
        <v>4</v>
      </c>
      <c r="B14" t="s">
        <v>55</v>
      </c>
      <c r="C14" s="6">
        <v>1</v>
      </c>
      <c r="D14" s="27"/>
      <c r="E14" s="31">
        <f>DATE(YEAR(Table3[Planned Start]),MONTH(Table3[Planned Start]),DAY(Table3[Planned Start])+7*Table3[Duration (weeks)])</f>
        <v>7</v>
      </c>
      <c r="F14" s="29"/>
      <c r="G14" s="29"/>
      <c r="H14" s="10" t="s">
        <v>23</v>
      </c>
      <c r="I14" s="9"/>
      <c r="J14" s="10" t="s">
        <v>41</v>
      </c>
      <c r="K14" s="9"/>
      <c r="L14" s="9"/>
      <c r="M14" s="9"/>
      <c r="N14" s="9"/>
    </row>
    <row r="15" spans="1:14" x14ac:dyDescent="0.25">
      <c r="A15" s="5">
        <f t="shared" si="0"/>
        <v>5</v>
      </c>
      <c r="B15" t="s">
        <v>56</v>
      </c>
      <c r="C15" s="6">
        <v>1</v>
      </c>
      <c r="D15" s="27"/>
      <c r="E15" s="31">
        <f>DATE(YEAR(Table3[Planned Start]),MONTH(Table3[Planned Start]),DAY(Table3[Planned Start])+7*Table3[Duration (weeks)])</f>
        <v>7</v>
      </c>
      <c r="F15" s="29"/>
      <c r="G15" s="29"/>
      <c r="H15" s="10" t="s">
        <v>23</v>
      </c>
      <c r="I15" s="9"/>
      <c r="J15" s="10" t="s">
        <v>41</v>
      </c>
      <c r="K15" s="9"/>
      <c r="L15" s="9"/>
      <c r="M15" s="9"/>
      <c r="N15" s="9"/>
    </row>
    <row r="16" spans="1:14" x14ac:dyDescent="0.25">
      <c r="A16" s="5">
        <f t="shared" si="0"/>
        <v>6</v>
      </c>
      <c r="B16" t="s">
        <v>57</v>
      </c>
      <c r="C16" s="6">
        <v>1</v>
      </c>
      <c r="D16" s="27"/>
      <c r="E16" s="31">
        <f>DATE(YEAR(Table3[Planned Start]),MONTH(Table3[Planned Start]),DAY(Table3[Planned Start])+7*Table3[Duration (weeks)])</f>
        <v>7</v>
      </c>
      <c r="F16" s="29"/>
      <c r="G16" s="29"/>
      <c r="H16" s="10" t="s">
        <v>23</v>
      </c>
      <c r="I16" s="9"/>
      <c r="J16" s="10" t="s">
        <v>41</v>
      </c>
      <c r="K16" s="9"/>
      <c r="L16" s="9"/>
      <c r="M16" s="9"/>
      <c r="N16" s="9"/>
    </row>
    <row r="17" spans="1:14" x14ac:dyDescent="0.25">
      <c r="A17" s="5">
        <f t="shared" si="0"/>
        <v>7</v>
      </c>
      <c r="B17" t="s">
        <v>58</v>
      </c>
      <c r="C17" s="6">
        <v>1</v>
      </c>
      <c r="D17" s="27"/>
      <c r="E17" s="31">
        <f>DATE(YEAR(Table3[Planned Start]),MONTH(Table3[Planned Start]),DAY(Table3[Planned Start])+7*Table3[Duration (weeks)])</f>
        <v>7</v>
      </c>
      <c r="F17" s="29"/>
      <c r="G17" s="29"/>
      <c r="H17" s="10" t="s">
        <v>23</v>
      </c>
      <c r="I17" s="9"/>
      <c r="J17" s="10" t="s">
        <v>41</v>
      </c>
      <c r="K17" s="9"/>
      <c r="L17" s="9"/>
      <c r="M17" s="9"/>
      <c r="N17" s="9"/>
    </row>
    <row r="18" spans="1:14" x14ac:dyDescent="0.25">
      <c r="A18" s="5">
        <f t="shared" si="0"/>
        <v>8</v>
      </c>
      <c r="B18" t="s">
        <v>59</v>
      </c>
      <c r="C18" s="6">
        <v>1</v>
      </c>
      <c r="D18" s="27"/>
      <c r="E18" s="31">
        <f>DATE(YEAR(Table3[Planned Start]),MONTH(Table3[Planned Start]),DAY(Table3[Planned Start])+7*Table3[Duration (weeks)])</f>
        <v>7</v>
      </c>
      <c r="F18" s="29"/>
      <c r="G18" s="29"/>
      <c r="H18" s="10" t="s">
        <v>23</v>
      </c>
      <c r="I18" s="9"/>
      <c r="J18" s="10" t="s">
        <v>41</v>
      </c>
      <c r="K18" s="9"/>
      <c r="L18" s="9"/>
      <c r="M18" s="9"/>
      <c r="N18" s="9"/>
    </row>
    <row r="19" spans="1:14" x14ac:dyDescent="0.25">
      <c r="A19" s="5"/>
      <c r="B19"/>
      <c r="C19" s="6"/>
      <c r="D19" s="27"/>
      <c r="E19" s="31"/>
      <c r="F19" s="29"/>
      <c r="G19" s="29"/>
      <c r="H19" s="10"/>
      <c r="I19" s="9"/>
      <c r="J19" s="10"/>
      <c r="K19" s="9"/>
      <c r="L19" s="9"/>
      <c r="M19" s="9"/>
      <c r="N19" s="9"/>
    </row>
    <row r="20" spans="1:14" x14ac:dyDescent="0.25">
      <c r="A20" s="5"/>
      <c r="B20"/>
      <c r="C20" s="6"/>
      <c r="D20" s="27"/>
      <c r="E20" s="31"/>
      <c r="F20" s="29"/>
      <c r="G20" s="29"/>
      <c r="H20" s="10"/>
      <c r="I20" s="9"/>
      <c r="J20" s="10"/>
      <c r="K20" s="9"/>
      <c r="L20" s="9"/>
      <c r="M20" s="9"/>
      <c r="N20" s="9"/>
    </row>
    <row r="21" spans="1:14" x14ac:dyDescent="0.25">
      <c r="A21" s="5"/>
      <c r="B21"/>
      <c r="C21" s="6"/>
      <c r="D21" s="27"/>
      <c r="E21" s="31"/>
      <c r="F21" s="29"/>
      <c r="G21" s="29"/>
      <c r="H21" s="10"/>
      <c r="I21" s="9"/>
      <c r="J21" s="10"/>
      <c r="K21" s="9"/>
      <c r="L21" s="9"/>
      <c r="M21" s="9"/>
      <c r="N21" s="9"/>
    </row>
    <row r="22" spans="1:14" x14ac:dyDescent="0.25">
      <c r="A22" s="5"/>
      <c r="B22"/>
      <c r="C22" s="6"/>
      <c r="D22" s="27"/>
      <c r="E22" s="31"/>
      <c r="F22" s="29"/>
      <c r="G22" s="29"/>
      <c r="H22" s="10"/>
      <c r="I22" s="9"/>
      <c r="J22" s="10"/>
      <c r="K22" s="9"/>
      <c r="L22" s="9"/>
      <c r="M22" s="9"/>
      <c r="N22" s="9"/>
    </row>
    <row r="23" spans="1:14" x14ac:dyDescent="0.25">
      <c r="A23" s="5"/>
      <c r="B23"/>
      <c r="C23" s="6"/>
      <c r="D23" s="27"/>
      <c r="E23" s="31"/>
      <c r="F23" s="29"/>
      <c r="G23" s="29"/>
      <c r="H23" s="10"/>
      <c r="I23" s="9"/>
      <c r="J23" s="10"/>
      <c r="K23" s="9"/>
      <c r="L23" s="9"/>
      <c r="M23" s="9"/>
      <c r="N23" s="9"/>
    </row>
    <row r="24" spans="1:14" x14ac:dyDescent="0.25">
      <c r="A24" s="5"/>
      <c r="B24"/>
      <c r="C24" s="6"/>
      <c r="D24" s="27"/>
      <c r="E24" s="31"/>
      <c r="F24" s="29"/>
      <c r="G24" s="29"/>
      <c r="H24" s="10"/>
      <c r="I24" s="9"/>
      <c r="J24" s="10"/>
      <c r="K24" s="9"/>
      <c r="L24" s="9"/>
      <c r="M24" s="9"/>
      <c r="N24" s="9"/>
    </row>
    <row r="25" spans="1:14" x14ac:dyDescent="0.25">
      <c r="A25" s="5"/>
      <c r="B25"/>
      <c r="C25" s="6"/>
      <c r="D25" s="27"/>
      <c r="E25" s="31"/>
      <c r="F25" s="29"/>
      <c r="G25" s="29"/>
      <c r="H25" s="10"/>
      <c r="I25" s="9"/>
      <c r="J25" s="10"/>
      <c r="K25" s="9"/>
      <c r="L25" s="9"/>
      <c r="M25" s="9"/>
      <c r="N25" s="9"/>
    </row>
    <row r="26" spans="1:14" x14ac:dyDescent="0.25">
      <c r="A26" s="5"/>
      <c r="B26"/>
      <c r="C26" s="6"/>
      <c r="D26" s="27"/>
      <c r="E26" s="31"/>
      <c r="F26" s="29"/>
      <c r="G26" s="29"/>
      <c r="H26" s="10"/>
      <c r="I26" s="9"/>
      <c r="J26" s="10"/>
      <c r="K26" s="9"/>
      <c r="L26" s="9"/>
      <c r="M26" s="9"/>
      <c r="N26" s="9"/>
    </row>
    <row r="27" spans="1:14" x14ac:dyDescent="0.25">
      <c r="A27" s="5"/>
      <c r="B27"/>
      <c r="C27" s="6"/>
      <c r="D27" s="27"/>
      <c r="E27" s="31"/>
      <c r="F27" s="29"/>
      <c r="G27" s="29"/>
      <c r="H27" s="10"/>
      <c r="I27" s="9"/>
      <c r="J27" s="10"/>
      <c r="K27" s="9"/>
      <c r="L27" s="9"/>
      <c r="M27" s="9"/>
      <c r="N27" s="9"/>
    </row>
    <row r="28" spans="1:14" x14ac:dyDescent="0.25">
      <c r="A28" s="5"/>
      <c r="B28"/>
      <c r="C28" s="6"/>
      <c r="D28" s="32"/>
      <c r="E28" s="33"/>
      <c r="F28" s="34"/>
      <c r="G28" s="34"/>
      <c r="H28" s="10"/>
      <c r="I28" s="35"/>
      <c r="J28" s="10"/>
      <c r="K28" s="35"/>
      <c r="L28" s="35"/>
      <c r="M28" s="35"/>
      <c r="N28" s="35"/>
    </row>
    <row r="29" spans="1:14" x14ac:dyDescent="0.25">
      <c r="A29" s="5"/>
      <c r="B29"/>
      <c r="C29" s="6"/>
      <c r="D29" s="32"/>
      <c r="E29" s="33"/>
      <c r="F29" s="34"/>
      <c r="G29" s="34"/>
      <c r="H29" s="10"/>
      <c r="I29" s="35"/>
      <c r="J29" s="10"/>
      <c r="K29" s="35"/>
      <c r="L29" s="35"/>
      <c r="M29" s="35"/>
      <c r="N29" s="35"/>
    </row>
    <row r="30" spans="1:14" x14ac:dyDescent="0.25">
      <c r="A30" s="5"/>
      <c r="B30"/>
      <c r="C30" s="6"/>
      <c r="D30" s="32"/>
      <c r="E30" s="33"/>
      <c r="F30" s="34"/>
      <c r="G30" s="34"/>
      <c r="H30" s="10"/>
      <c r="I30" s="35"/>
      <c r="J30" s="10"/>
      <c r="K30" s="35"/>
      <c r="L30" s="35"/>
      <c r="M30" s="35"/>
      <c r="N30" s="35"/>
    </row>
    <row r="31" spans="1:14" x14ac:dyDescent="0.25">
      <c r="A31" s="5"/>
      <c r="B31"/>
      <c r="C31" s="6"/>
      <c r="D31" s="32"/>
      <c r="E31" s="33"/>
      <c r="F31" s="34"/>
      <c r="G31" s="34"/>
      <c r="H31" s="10"/>
      <c r="I31" s="35"/>
      <c r="J31" s="10"/>
      <c r="K31" s="35"/>
      <c r="L31" s="35"/>
      <c r="M31" s="35"/>
      <c r="N31" s="35"/>
    </row>
    <row r="32" spans="1:14" x14ac:dyDescent="0.25">
      <c r="A32" s="5"/>
      <c r="B32"/>
      <c r="C32" s="6"/>
      <c r="D32" s="32"/>
      <c r="E32" s="33"/>
      <c r="F32" s="34"/>
      <c r="G32" s="34"/>
      <c r="H32" s="10"/>
      <c r="I32" s="35"/>
      <c r="J32" s="10"/>
      <c r="K32" s="35"/>
      <c r="L32" s="35"/>
      <c r="M32" s="35"/>
      <c r="N32" s="35"/>
    </row>
    <row r="33" spans="1:14" x14ac:dyDescent="0.25">
      <c r="A33" s="5"/>
      <c r="B33"/>
      <c r="C33" s="6"/>
      <c r="D33" s="32"/>
      <c r="E33" s="33"/>
      <c r="F33" s="34"/>
      <c r="G33" s="34"/>
      <c r="H33" s="10"/>
      <c r="I33" s="35"/>
      <c r="J33" s="10"/>
      <c r="K33" s="35"/>
      <c r="L33" s="35"/>
      <c r="M33" s="35"/>
      <c r="N33" s="35"/>
    </row>
    <row r="34" spans="1:14" x14ac:dyDescent="0.25">
      <c r="A34" s="5"/>
      <c r="B34"/>
      <c r="C34" s="6"/>
      <c r="D34" s="36"/>
      <c r="E34" s="31"/>
      <c r="F34" s="34"/>
      <c r="G34" s="34"/>
      <c r="H34" s="10"/>
      <c r="I34" s="35"/>
      <c r="J34" s="10"/>
      <c r="K34" s="35"/>
      <c r="L34" s="35"/>
      <c r="M34" s="35"/>
      <c r="N34" s="35"/>
    </row>
    <row r="35" spans="1:14" x14ac:dyDescent="0.25">
      <c r="A35" s="5"/>
      <c r="B35"/>
      <c r="C35" s="6"/>
      <c r="D35" s="36"/>
      <c r="E35" s="31"/>
      <c r="F35" s="34"/>
      <c r="G35" s="34"/>
      <c r="H35" s="10"/>
      <c r="I35" s="35"/>
      <c r="J35" s="10"/>
      <c r="K35" s="35"/>
      <c r="L35" s="35"/>
      <c r="M35" s="35"/>
      <c r="N35" s="35"/>
    </row>
    <row r="36" spans="1:14" x14ac:dyDescent="0.25">
      <c r="A36" s="5"/>
      <c r="B36"/>
      <c r="C36" s="37"/>
      <c r="D36" s="32"/>
      <c r="E36" s="33"/>
      <c r="F36" s="34"/>
      <c r="G36" s="34"/>
      <c r="H36" s="10"/>
      <c r="I36" s="35"/>
      <c r="J36" s="10"/>
      <c r="K36" s="35"/>
      <c r="L36" s="35"/>
      <c r="M36" s="35"/>
      <c r="N36" s="35"/>
    </row>
    <row r="37" spans="1:14" s="38" customFormat="1" x14ac:dyDescent="0.25">
      <c r="A37" s="39"/>
      <c r="B37" s="40"/>
      <c r="C37" s="41"/>
      <c r="D37" s="34"/>
      <c r="E37" s="34"/>
      <c r="F37" s="34"/>
      <c r="G37" s="34"/>
      <c r="H37" s="35"/>
      <c r="I37" s="35"/>
      <c r="J37" s="35"/>
      <c r="K37" s="35"/>
      <c r="L37" s="35"/>
      <c r="M37" s="35"/>
      <c r="N37" s="35"/>
    </row>
    <row r="38" spans="1:14" s="38" customFormat="1" x14ac:dyDescent="0.25">
      <c r="A38" s="39"/>
      <c r="B38" s="40"/>
      <c r="C38" s="41"/>
      <c r="D38" s="34"/>
      <c r="E38" s="34"/>
      <c r="F38" s="34"/>
      <c r="G38" s="34"/>
      <c r="H38" s="35"/>
      <c r="I38" s="35"/>
      <c r="J38" s="35"/>
      <c r="K38" s="35"/>
      <c r="L38" s="35"/>
      <c r="M38" s="35"/>
      <c r="N38" s="35"/>
    </row>
    <row r="39" spans="1:14" s="38" customFormat="1" x14ac:dyDescent="0.25">
      <c r="A39" s="39"/>
      <c r="B39" s="40"/>
      <c r="C39" s="41"/>
      <c r="D39" s="34"/>
      <c r="E39" s="34"/>
      <c r="F39" s="34"/>
      <c r="G39" s="34"/>
      <c r="H39" s="35"/>
      <c r="I39" s="35"/>
      <c r="J39" s="35"/>
      <c r="K39" s="35"/>
      <c r="L39" s="35"/>
      <c r="M39" s="35"/>
      <c r="N39" s="35"/>
    </row>
  </sheetData>
  <dataConsolidate/>
  <mergeCells count="2">
    <mergeCell ref="C5:E5"/>
    <mergeCell ref="C1:E1"/>
  </mergeCells>
  <dataValidations count="2">
    <dataValidation type="decimal" allowBlank="1" showInputMessage="1" showErrorMessage="1" sqref="I11:I36">
      <formula1>0</formula1>
      <formula2>5</formula2>
    </dataValidation>
    <dataValidation type="date" allowBlank="1" showInputMessage="1" showErrorMessage="1" sqref="D11:G36">
      <formula1>41640</formula1>
      <formula2>43831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rogram" altText="Загрузить программу">
                <anchor moveWithCells="1" sizeWithCells="1">
                  <from>
                    <xdr:col>2</xdr:col>
                    <xdr:colOff>0</xdr:colOff>
                    <xdr:row>5</xdr:row>
                    <xdr:rowOff>19050</xdr:rowOff>
                  </from>
                  <to>
                    <xdr:col>5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Git">
                <anchor moveWithCells="1" sizeWithCells="1">
                  <from>
                    <xdr:col>2</xdr:col>
                    <xdr:colOff>9525</xdr:colOff>
                    <xdr:row>2</xdr:row>
                    <xdr:rowOff>180975</xdr:rowOff>
                  </from>
                  <to>
                    <xdr:col>5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pproveProgram">
                <anchor moveWithCells="1" sizeWithCells="1">
                  <from>
                    <xdr:col>2</xdr:col>
                    <xdr:colOff>0</xdr:colOff>
                    <xdr:row>0</xdr:row>
                    <xdr:rowOff>180975</xdr:rowOff>
                  </from>
                  <to>
                    <xdr:col>5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Параметры!$B$4:$B$7</xm:f>
          </x14:formula1>
          <xm:sqref>H11:H36</xm:sqref>
        </x14:dataValidation>
        <x14:dataValidation type="list" allowBlank="1" showInputMessage="1" showErrorMessage="1">
          <x14:formula1>
            <xm:f>Параметры!$B$12:$B$16</xm:f>
          </x14:formula1>
          <xm:sqref>L11:M36</xm:sqref>
        </x14:dataValidation>
        <x14:dataValidation type="list" allowBlank="1" showInputMessage="1" showErrorMessage="1">
          <x14:formula1>
            <xm:f>Параметры!$B$18:$B$19</xm:f>
          </x14:formula1>
          <xm:sqref>J11:J36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2"/>
  <sheetViews>
    <sheetView workbookViewId="0">
      <selection activeCell="A14" sqref="A14"/>
    </sheetView>
  </sheetViews>
  <sheetFormatPr defaultRowHeight="15" x14ac:dyDescent="0.25"/>
  <sheetData>
    <row r="1" spans="1:1" ht="21" x14ac:dyDescent="0.35">
      <c r="A1" s="18" t="s">
        <v>39</v>
      </c>
    </row>
    <row r="2" spans="1:1" x14ac:dyDescent="0.25">
      <c r="A2" s="15" t="s">
        <v>29</v>
      </c>
    </row>
    <row r="3" spans="1:1" x14ac:dyDescent="0.25">
      <c r="A3" s="16" t="s">
        <v>30</v>
      </c>
    </row>
    <row r="4" spans="1:1" x14ac:dyDescent="0.25">
      <c r="A4" s="16" t="s">
        <v>31</v>
      </c>
    </row>
    <row r="5" spans="1:1" x14ac:dyDescent="0.25">
      <c r="A5" s="16" t="s">
        <v>32</v>
      </c>
    </row>
    <row r="6" spans="1:1" x14ac:dyDescent="0.25">
      <c r="A6" s="16" t="s">
        <v>33</v>
      </c>
    </row>
    <row r="7" spans="1:1" x14ac:dyDescent="0.25">
      <c r="A7" s="15" t="s">
        <v>34</v>
      </c>
    </row>
    <row r="8" spans="1:1" x14ac:dyDescent="0.25">
      <c r="A8" s="15" t="s">
        <v>35</v>
      </c>
    </row>
    <row r="9" spans="1:1" x14ac:dyDescent="0.25">
      <c r="A9" s="15" t="s">
        <v>36</v>
      </c>
    </row>
    <row r="10" spans="1:1" x14ac:dyDescent="0.25">
      <c r="A10" s="15" t="s">
        <v>37</v>
      </c>
    </row>
    <row r="11" spans="1:1" x14ac:dyDescent="0.25">
      <c r="A11" s="17"/>
    </row>
    <row r="12" spans="1:1" x14ac:dyDescent="0.25">
      <c r="A12" s="17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B23"/>
  <sheetViews>
    <sheetView topLeftCell="A4" workbookViewId="0">
      <selection activeCell="B22" sqref="B22"/>
    </sheetView>
  </sheetViews>
  <sheetFormatPr defaultRowHeight="15" x14ac:dyDescent="0.25"/>
  <cols>
    <col min="1" max="1" width="12.5703125" bestFit="1" customWidth="1"/>
    <col min="2" max="2" width="228.42578125" customWidth="1"/>
  </cols>
  <sheetData>
    <row r="1" spans="1:2" x14ac:dyDescent="0.25">
      <c r="A1" t="s">
        <v>5</v>
      </c>
      <c r="B1" t="s">
        <v>6</v>
      </c>
    </row>
    <row r="2" spans="1:2" ht="409.5" x14ac:dyDescent="0.25">
      <c r="A2" s="8" t="s">
        <v>7</v>
      </c>
      <c r="B2" s="7" t="s">
        <v>8</v>
      </c>
    </row>
    <row r="3" spans="1:2" x14ac:dyDescent="0.25">
      <c r="B3" s="7"/>
    </row>
    <row r="4" spans="1:2" x14ac:dyDescent="0.25">
      <c r="B4" t="s">
        <v>23</v>
      </c>
    </row>
    <row r="5" spans="1:2" x14ac:dyDescent="0.25">
      <c r="B5" t="s">
        <v>24</v>
      </c>
    </row>
    <row r="6" spans="1:2" x14ac:dyDescent="0.25">
      <c r="B6" t="s">
        <v>25</v>
      </c>
    </row>
    <row r="7" spans="1:2" x14ac:dyDescent="0.25">
      <c r="B7" t="s">
        <v>26</v>
      </c>
    </row>
    <row r="9" spans="1:2" x14ac:dyDescent="0.25">
      <c r="A9" t="s">
        <v>27</v>
      </c>
      <c r="B9" s="12">
        <v>41913</v>
      </c>
    </row>
    <row r="10" spans="1:2" x14ac:dyDescent="0.25">
      <c r="A10" t="s">
        <v>28</v>
      </c>
      <c r="B10" s="12">
        <v>42004</v>
      </c>
    </row>
    <row r="12" spans="1:2" x14ac:dyDescent="0.25">
      <c r="B12">
        <v>1</v>
      </c>
    </row>
    <row r="13" spans="1:2" x14ac:dyDescent="0.25">
      <c r="B13">
        <v>2</v>
      </c>
    </row>
    <row r="14" spans="1:2" x14ac:dyDescent="0.25">
      <c r="B14">
        <v>3</v>
      </c>
    </row>
    <row r="15" spans="1:2" x14ac:dyDescent="0.25">
      <c r="B15">
        <v>4</v>
      </c>
    </row>
    <row r="16" spans="1:2" x14ac:dyDescent="0.25">
      <c r="B16">
        <v>5</v>
      </c>
    </row>
    <row r="18" spans="1:2" x14ac:dyDescent="0.25">
      <c r="B18" t="s">
        <v>40</v>
      </c>
    </row>
    <row r="19" spans="1:2" x14ac:dyDescent="0.25">
      <c r="B19" t="s">
        <v>41</v>
      </c>
    </row>
    <row r="20" spans="1:2" x14ac:dyDescent="0.25">
      <c r="A20" t="s">
        <v>46</v>
      </c>
      <c r="B20" t="s">
        <v>48</v>
      </c>
    </row>
    <row r="21" spans="1:2" x14ac:dyDescent="0.25">
      <c r="A21" t="s">
        <v>47</v>
      </c>
      <c r="B21" t="s">
        <v>61</v>
      </c>
    </row>
    <row r="22" spans="1:2" x14ac:dyDescent="0.25">
      <c r="A22" t="s">
        <v>49</v>
      </c>
      <c r="B22">
        <v>1</v>
      </c>
    </row>
    <row r="23" spans="1:2" x14ac:dyDescent="0.25">
      <c r="A23" t="s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Программа</vt:lpstr>
      <vt:lpstr>Инструкции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Alexey Obrezkin</cp:lastModifiedBy>
  <dcterms:created xsi:type="dcterms:W3CDTF">2011-08-25T14:29:57Z</dcterms:created>
  <dcterms:modified xsi:type="dcterms:W3CDTF">2016-05-15T12:35:19Z</dcterms:modified>
</cp:coreProperties>
</file>